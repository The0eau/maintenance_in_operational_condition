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au/Documents/IMTA/3A/UE F/TD/maintenance_in_operational_condition/data/annexe/"/>
    </mc:Choice>
  </mc:AlternateContent>
  <xr:revisionPtr revIDLastSave="0" documentId="8_{C0877437-AB99-AE48-BB9B-F58DFF39D33F}" xr6:coauthVersionLast="47" xr6:coauthVersionMax="47" xr10:uidLastSave="{00000000-0000-0000-0000-000000000000}"/>
  <bookViews>
    <workbookView xWindow="2620" yWindow="760" windowWidth="24960" windowHeight="17140" xr2:uid="{669FCB7D-B47D-BB4B-8D03-14D41651A2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D5" i="1" s="1"/>
  <c r="E5" i="1" s="1"/>
  <c r="D7" i="1"/>
  <c r="E7" i="1" s="1"/>
  <c r="D8" i="1"/>
  <c r="D9" i="1"/>
  <c r="E9" i="1" s="1"/>
  <c r="D10" i="1"/>
  <c r="E10" i="1" s="1"/>
  <c r="D4" i="1"/>
  <c r="E4" i="1" s="1"/>
  <c r="B19" i="1"/>
  <c r="B20" i="1"/>
  <c r="B15" i="1"/>
  <c r="B16" i="1"/>
  <c r="B17" i="1"/>
  <c r="B18" i="1"/>
  <c r="B14" i="1"/>
  <c r="B13" i="1" a="1"/>
  <c r="B13" i="1" s="1"/>
  <c r="E8" i="1"/>
  <c r="D6" i="1" l="1"/>
  <c r="E6" i="1" s="1"/>
  <c r="E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<sst xmlns="http://schemas.openxmlformats.org/spreadsheetml/2006/main" count="12" uniqueCount="12">
  <si>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Designation</t>
  </si>
  <si>
    <t>Nb</t>
  </si>
  <si>
    <t>lambda</t>
  </si>
  <si>
    <t>w</t>
  </si>
  <si>
    <t>lambda*</t>
  </si>
  <si>
    <t>ws</t>
  </si>
  <si>
    <t>PLC</t>
  </si>
  <si>
    <t>RIO</t>
  </si>
  <si>
    <t>valv</t>
  </si>
  <si>
    <t>pmp</t>
  </si>
  <si>
    <t>exch</t>
  </si>
  <si>
    <t>wps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</si>
</sst>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E8A7-B580-CC4A-97FB-10764BFFCD07}">
  <dimension ref="A2:E21"/>
  <sheetViews>
    <sheetView tabSelected="1" workbookViewId="0">
      <selection activeCell="B22" sqref="B22"/>
    </sheetView>
  </sheetViews>
  <sheetFormatPr baseColWidth="10" defaultRowHeight="16" x14ac:dyDescent="0.2"/>
  <sheetData>
    <row r="2" spans="1:5" x14ac:dyDescent="0.2">
      <c r="D2" s="1">
        <v>1E-4</v>
      </c>
    </row>
    <row r="3" spans="1:5" x14ac:dyDescent="0.2">
      <c r="A3" t="s">
        <v>0</v>
      </c>
      <c r="B3" t="s">
        <v>1</v>
      </c>
      <c r="C3" t="s">
        <v>4</v>
      </c>
      <c r="D3" t="s">
        <v>3</v>
      </c>
      <c r="E3" t="s">
        <v>2</v>
      </c>
    </row>
    <row r="4" spans="1:5" x14ac:dyDescent="0.2">
      <c r="A4" t="s">
        <v>5</v>
      </c>
      <c r="B4">
        <v>2</v>
      </c>
      <c r="C4" s="1">
        <v>1.0000000000000001E-5</v>
      </c>
      <c r="D4" s="1">
        <f>C4/$B$21</f>
        <v>6.8917987594762239E-2</v>
      </c>
      <c r="E4" s="1">
        <f>D4*$D$2</f>
        <v>6.891798759476224E-6</v>
      </c>
    </row>
    <row r="5" spans="1:5" x14ac:dyDescent="0.2">
      <c r="A5" t="s">
        <v>6</v>
      </c>
      <c r="B5">
        <v>2</v>
      </c>
      <c r="C5" s="1">
        <v>1.0000000000000001E-5</v>
      </c>
      <c r="D5" s="1">
        <f t="shared" ref="D5:D10" si="0">C5/$B$21</f>
        <v>6.8917987594762239E-2</v>
      </c>
      <c r="E5" s="1">
        <f t="shared" ref="E5:E10" si="1">D5*$D$2</f>
        <v>6.891798759476224E-6</v>
      </c>
    </row>
    <row r="6" spans="1:5" x14ac:dyDescent="0.2">
      <c r="A6" t="s">
        <v>7</v>
      </c>
      <c r="B6">
        <v>2</v>
      </c>
      <c r="C6" s="1">
        <v>9.9999999999999995E-7</v>
      </c>
      <c r="D6" s="1">
        <f t="shared" si="0"/>
        <v>6.8917987594762226E-3</v>
      </c>
      <c r="E6" s="1">
        <f t="shared" si="1"/>
        <v>6.891798759476223E-7</v>
      </c>
    </row>
    <row r="7" spans="1:5" x14ac:dyDescent="0.2">
      <c r="A7" t="s">
        <v>8</v>
      </c>
      <c r="B7">
        <v>2</v>
      </c>
      <c r="C7" s="1">
        <v>9.9999999999999995E-7</v>
      </c>
      <c r="D7" s="1">
        <f t="shared" si="0"/>
        <v>6.8917987594762226E-3</v>
      </c>
      <c r="E7" s="1">
        <f t="shared" si="1"/>
        <v>6.891798759476223E-7</v>
      </c>
    </row>
    <row r="8" spans="1:5" x14ac:dyDescent="0.2">
      <c r="A8" t="s">
        <v>9</v>
      </c>
      <c r="B8">
        <v>2</v>
      </c>
      <c r="C8" s="1">
        <v>5.0000000000000002E-5</v>
      </c>
      <c r="D8" s="1">
        <f t="shared" si="0"/>
        <v>0.34458993797381116</v>
      </c>
      <c r="E8" s="1">
        <f t="shared" si="1"/>
        <v>3.445899379738112E-5</v>
      </c>
    </row>
    <row r="9" spans="1:5" x14ac:dyDescent="0.2">
      <c r="A9" t="s">
        <v>10</v>
      </c>
      <c r="B9">
        <v>1</v>
      </c>
      <c r="C9" s="1">
        <v>9.9999999999999995E-8</v>
      </c>
      <c r="D9" s="1">
        <f t="shared" si="0"/>
        <v>6.8917987594762232E-4</v>
      </c>
      <c r="E9" s="1">
        <f t="shared" si="1"/>
        <v>6.8917987594762238E-8</v>
      </c>
    </row>
    <row r="10" spans="1:5" x14ac:dyDescent="0.2">
      <c r="A10" t="s">
        <v>11</v>
      </c>
      <c r="B10">
        <v>1</v>
      </c>
      <c r="C10" s="1">
        <v>9.9999999999999995E-7</v>
      </c>
      <c r="D10" s="1">
        <f t="shared" si="0"/>
        <v>6.8917987594762226E-3</v>
      </c>
      <c r="E10" s="1">
        <f t="shared" si="1"/>
        <v>6.891798759476223E-7</v>
      </c>
    </row>
    <row r="11" spans="1:5" x14ac:dyDescent="0.2">
      <c r="E11" s="1">
        <f>SUM(E4:E10)</f>
        <v>5.0379048931771192E-5</v>
      </c>
    </row>
    <row r="13" spans="1:5" x14ac:dyDescent="0.2">
      <c r="B13" s="1" cm="1">
        <f t="array" ref="B13">SUM($C$4*$B$4:$C$10*$B$10)</f>
        <v>1.20000731E-4</v>
      </c>
    </row>
    <row r="14" spans="1:5" x14ac:dyDescent="0.2">
      <c r="B14" s="1">
        <f>B4*C4</f>
        <v>2.0000000000000002E-5</v>
      </c>
    </row>
    <row r="15" spans="1:5" x14ac:dyDescent="0.2">
      <c r="B15" s="1">
        <f t="shared" ref="B15:B20" si="2">B5*C5</f>
        <v>2.0000000000000002E-5</v>
      </c>
    </row>
    <row r="16" spans="1:5" x14ac:dyDescent="0.2">
      <c r="B16" s="1">
        <f t="shared" si="2"/>
        <v>1.9999999999999999E-6</v>
      </c>
    </row>
    <row r="17" spans="2:2" x14ac:dyDescent="0.2">
      <c r="B17" s="1">
        <f t="shared" si="2"/>
        <v>1.9999999999999999E-6</v>
      </c>
    </row>
    <row r="18" spans="2:2" x14ac:dyDescent="0.2">
      <c r="B18" s="1">
        <f t="shared" si="2"/>
        <v>1E-4</v>
      </c>
    </row>
    <row r="19" spans="2:2" x14ac:dyDescent="0.2">
      <c r="B19" s="1">
        <f t="shared" si="2"/>
        <v>9.9999999999999995E-8</v>
      </c>
    </row>
    <row r="20" spans="2:2" x14ac:dyDescent="0.2">
      <c r="B20" s="1">
        <f t="shared" si="2"/>
        <v>9.9999999999999995E-7</v>
      </c>
    </row>
    <row r="21" spans="2:2" x14ac:dyDescent="0.2">
      <c r="B21" s="1">
        <f>SUM(B14:B20)</f>
        <v>1.451E-4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Théau AGUET</dc:creator>
  <cp:lastModifiedBy>Théau AGUET</cp:lastModifiedBy>
  <dcterms:created xsi:type="dcterms:W3CDTF">2026-03-06T13:34:08Z</dcterms:created>
  <dcterms:modified xsi:type="dcterms:W3CDTF">2026-03-06T14:08:49Z</dcterms:modified>
</cp:coreProperties>
</file>